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Master\1. year\SCACE\Layout\Flyback\Project Outputs for Flyback\BOM\"/>
    </mc:Choice>
  </mc:AlternateContent>
  <xr:revisionPtr revIDLastSave="0" documentId="13_ncr:1_{48BD5788-7243-4A28-BED4-AAA1D48E98EA}" xr6:coauthVersionLast="47" xr6:coauthVersionMax="47" xr10:uidLastSave="{00000000-0000-0000-0000-000000000000}"/>
  <bookViews>
    <workbookView xWindow="-110" yWindow="-110" windowWidth="25820" windowHeight="15500" xr2:uid="{F952D75E-43DA-464C-9075-3F13CF682E53}"/>
  </bookViews>
  <sheets>
    <sheet name="Bill of Materials-Schematic" sheetId="1" r:id="rId1"/>
  </sheets>
  <definedNames>
    <definedName name="_xlnm.Print_Titles" localSheetId="0">'Bill of Materials-Schematic'!$1:$1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H45" i="1"/>
  <c r="J44" i="1"/>
  <c r="H44" i="1"/>
  <c r="J43" i="1"/>
  <c r="H4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2" i="1"/>
</calcChain>
</file>

<file path=xl/sharedStrings.xml><?xml version="1.0" encoding="utf-8"?>
<sst xmlns="http://schemas.openxmlformats.org/spreadsheetml/2006/main" count="181" uniqueCount="154">
  <si>
    <t>Description</t>
  </si>
  <si>
    <t>Designator</t>
  </si>
  <si>
    <t>Manufacturer</t>
  </si>
  <si>
    <t>Quantity</t>
  </si>
  <si>
    <t>1.5nF</t>
  </si>
  <si>
    <t>Ceramic Capacitor, Multilayer, Ceramic, 16V, 20% +Tol, 20% -Tol, X7R, 15% TC, 0.0015uF, Surface Mount, 0805</t>
  </si>
  <si>
    <t>C1, C13</t>
  </si>
  <si>
    <t>KEMET</t>
  </si>
  <si>
    <t>680uF</t>
  </si>
  <si>
    <t>Aluminum Electrolytic Capacitor, Polarized, Aluminum (solid Polymer), 16V, 20% +Tol, 20% -Tol, 680uF, Surface Mount, 3333</t>
  </si>
  <si>
    <t>C2, C3</t>
  </si>
  <si>
    <t>Panasonic</t>
  </si>
  <si>
    <t>270uF</t>
  </si>
  <si>
    <t>Aluminum Electrolytic Capacitor, Polarized, Aluminum (solid Polymer), 16V, 20% +Tol, 20% -Tol, 270uF, Surface Mount, 2626</t>
  </si>
  <si>
    <t>C4, C16, C17, C18, C19</t>
  </si>
  <si>
    <t>100uF</t>
  </si>
  <si>
    <t>Aluminum Electrolytic Capacitor, Polarized, Aluminum (wet), 400V, 20% +Tol, 20% -Tol, 100uF, Through Hole Mount</t>
  </si>
  <si>
    <t>C5</t>
  </si>
  <si>
    <t>United Chemi-Con</t>
  </si>
  <si>
    <t>22nF</t>
  </si>
  <si>
    <t>Ceramic Capacitor, Multilayer, Ceramic, 250V, 10% +Tol, 10% -Tol, X7R, 15% TC, 0.022uF, Surface Mount, 1206</t>
  </si>
  <si>
    <t>C6</t>
  </si>
  <si>
    <t>3.3uF</t>
  </si>
  <si>
    <t>Ceramic Capacitor, Multilayer, Ceramic, 16V, 10% +Tol, 10% -Tol, X7R, 15% TC, 3.3uF, Surface Mount, 1206</t>
  </si>
  <si>
    <t>C7</t>
  </si>
  <si>
    <t>Aluminum Electrolytic Capacitor, Polarized, 25V, 20% +Tol, 20% -Tol, 100uF, Surface Mount, 2626</t>
  </si>
  <si>
    <t>C8</t>
  </si>
  <si>
    <t>27uF</t>
  </si>
  <si>
    <t>Aluminum Electrolytic Capacitor, Polarized, Aluminum (wet), 35V, 20% +Tol, 20% -Tol, 27uF, Surface Mount, 2626</t>
  </si>
  <si>
    <t>C9</t>
  </si>
  <si>
    <t>Nichicon</t>
  </si>
  <si>
    <t>22uF</t>
  </si>
  <si>
    <t>Ceramic Capacitor, Multilayer, Ceramic, 16V, 20% +Tol, 20% -Tol, X5R, 15% TC, 22uF, Surface Mount, 1210</t>
  </si>
  <si>
    <t>C10</t>
  </si>
  <si>
    <t>2.2nF</t>
  </si>
  <si>
    <t>Ceramic Capacitor, Multilayer, Ceramic, 16V, 10% +Tol, 10% -Tol, X7R, 15% TC, 0.0022uF, Surface Mount, 0805</t>
  </si>
  <si>
    <t>C11</t>
  </si>
  <si>
    <t>0.1uF</t>
  </si>
  <si>
    <t>Ceramic Capacitor, Multilayer, Ceramic, 10V, 10% +Tol, 10% -Tol, X7R, 15% TC, 0.1uF, Surface Mount, 0603</t>
  </si>
  <si>
    <t>C12</t>
  </si>
  <si>
    <t>18pF</t>
  </si>
  <si>
    <t>Ceramic Capacitor, Multilayer, Ceramic, 630V, 5% +Tol, 5% -Tol, C0G, 30ppm/Cel TC, 0.000018uF, Surface Mount, 0805</t>
  </si>
  <si>
    <t>C14</t>
  </si>
  <si>
    <t>1.8nF</t>
  </si>
  <si>
    <t>Ceramic Capacitor, Multilayer, Ceramic, 50V, 20% +Tol, 20% -Tol, X7R, 15% TC, 0.0018uF, Surface Mount, 0805</t>
  </si>
  <si>
    <t>C15</t>
  </si>
  <si>
    <t>100pF</t>
  </si>
  <si>
    <t>Multilayer Ceramic Capacitors MLCC - SMD/SMT 50volts 100pF C0G 5%</t>
  </si>
  <si>
    <t>C20</t>
  </si>
  <si>
    <t>CONNECTOR</t>
  </si>
  <si>
    <t>Strip Terminal Block, 24A, 2.5mm2, 1 Row(s), 1 Deck(s)</t>
  </si>
  <si>
    <t>CONN1, CONN2, CONN3</t>
  </si>
  <si>
    <t>Weidmuller</t>
  </si>
  <si>
    <t>150060VS75000</t>
  </si>
  <si>
    <t>Single Color LED, Bright Green, Water Clear, 1.1mm</t>
  </si>
  <si>
    <t>D1, D6</t>
  </si>
  <si>
    <t>Wurth Electronics</t>
  </si>
  <si>
    <t>V10P22</t>
  </si>
  <si>
    <t>Schottky Diodes &amp; Rectifiers 10A 200V SMPC TRENCH SKY REC</t>
  </si>
  <si>
    <t>D2, D5</t>
  </si>
  <si>
    <t>Vishay Intertechnology</t>
  </si>
  <si>
    <t>US1M</t>
  </si>
  <si>
    <t>Rectifier Diode, 1 Phase, 1 Element, 1A, 1000V V(RRM), Silicon, DO-214AC</t>
  </si>
  <si>
    <t>D3</t>
  </si>
  <si>
    <t>Vishay Semiconductors</t>
  </si>
  <si>
    <t>MBRS1100</t>
  </si>
  <si>
    <t>Rectifier Diode, Schottky, 1 Phase, 1 Element, 1A, 100V V(RRM), Silicon</t>
  </si>
  <si>
    <t>D4</t>
  </si>
  <si>
    <t>0.11uH</t>
  </si>
  <si>
    <t>Power Inductor, 0.11UH, Shielded, 10A Rohs Compliant: Yes</t>
  </si>
  <si>
    <t>L1</t>
  </si>
  <si>
    <t>Pulse</t>
  </si>
  <si>
    <t>17.5nH</t>
  </si>
  <si>
    <t>General Purpose Inductor, 0.0175uH, 5%, 1 Element, Air-Core, SMD, 2310</t>
  </si>
  <si>
    <t>L2</t>
  </si>
  <si>
    <t>Abracon</t>
  </si>
  <si>
    <t>IPD60R</t>
  </si>
  <si>
    <t>Mosfet, N-ch, 600V, 18A, TO-252;</t>
  </si>
  <si>
    <t>Q1</t>
  </si>
  <si>
    <t>Infineon</t>
  </si>
  <si>
    <t>120R</t>
  </si>
  <si>
    <t>Fixed Resistor, Thin Film, 0.125W, 120ohm, 150V, 0.5% +/-Tol, 25ppm/Cel, Surface Mount, 0805</t>
  </si>
  <si>
    <t>R1</t>
  </si>
  <si>
    <t>Yageo</t>
  </si>
  <si>
    <t>0.5R</t>
  </si>
  <si>
    <t>Thin Film Resistors - SMD 0.5Ohms 1206 1W 1% HiPow Anti-Surge AEC-Q200</t>
  </si>
  <si>
    <t>R2, R19</t>
  </si>
  <si>
    <t>Stackpole Electronics</t>
  </si>
  <si>
    <t>50R</t>
  </si>
  <si>
    <t>Fixed Resistor, Thin Film, 0.1W, 50ohm, 75V, 0.1% +/-Tol, 50ppm/Cel, Surface Mount, 0603</t>
  </si>
  <si>
    <t>R3, R14</t>
  </si>
  <si>
    <t>50k</t>
  </si>
  <si>
    <t>Fixed Resistor, Thin Film, 0.25W, 50000ohm, 200V, 0.1% +/-Tol, 25ppm/Cel, Surface Mount, 1206</t>
  </si>
  <si>
    <t>R4, R10</t>
  </si>
  <si>
    <t>6k73</t>
  </si>
  <si>
    <t>Fixed Resistor, Thin Film, 0.125W, 6730ohm, 150V, 0.1% +/-Tol, 25ppm/Cel, Surface Mount, 0805</t>
  </si>
  <si>
    <t>R5</t>
  </si>
  <si>
    <t>21R</t>
  </si>
  <si>
    <t>Fixed Resistor, Thin Film, 0.125W, 21ohm, 100V, 0.5% +/-Tol, 50ppm/Cel, Surface Mount, 0805</t>
  </si>
  <si>
    <t>R6</t>
  </si>
  <si>
    <t>39R</t>
  </si>
  <si>
    <t>Fixed Resistor, Metal Glaze/thick Film, 0.125W, 39ohm, 150V, 1% +/-Tol, 150ppm/Cel, Surface Mount, 0805</t>
  </si>
  <si>
    <t>R7</t>
  </si>
  <si>
    <t>715R</t>
  </si>
  <si>
    <t>Fixed Resistor, Thin Film, 0.125W, 715ohm, 150V, 1% +/-Tol, 50ppm/Cel, Surface Mount, 0805</t>
  </si>
  <si>
    <t>R8</t>
  </si>
  <si>
    <t>1k</t>
  </si>
  <si>
    <t>Fixed Resistor, Thin Film, 0.125W, 1000ohm, 150V, 0.1% +/-Tol, 25ppm/Cel, Surface Mount, 0805</t>
  </si>
  <si>
    <t>R9, R13, R18</t>
  </si>
  <si>
    <t>2k2</t>
  </si>
  <si>
    <t>Fixed Resistor, Metal Glaze/thick Film, 0.125W, 2200ohm, 150V, 0.5% +/-Tol, 100ppm/Cel, Surface Mount, 0805</t>
  </si>
  <si>
    <t>R11, R12</t>
  </si>
  <si>
    <t>210R</t>
  </si>
  <si>
    <t>Fixed Resistor, Thin Film, 0.25W, 210ohm, 200V, 1% +/-Tol, 50ppm/Cel, Surface Mount, 1206</t>
  </si>
  <si>
    <t>R15</t>
  </si>
  <si>
    <t>10k</t>
  </si>
  <si>
    <t>Fixed Resistor, Thin Film, 0.125W, 10000ohm, 150V, 1% +/-Tol, 50ppm/Cel, Surface Mount, 0805</t>
  </si>
  <si>
    <t>R16</t>
  </si>
  <si>
    <t>13k7</t>
  </si>
  <si>
    <t>Fixed Resistor, Thin Film, 0.125W, 13700ohm, 150V, 0.1% +/-Tol, 25ppm/Cel, Surface Mount, 0805</t>
  </si>
  <si>
    <t>R17</t>
  </si>
  <si>
    <t>294R</t>
  </si>
  <si>
    <t>Fixed Resistor, Thin Film, 0.125W, 294ohm, 150V, 0.1% +/-Tol, 25ppm/Cel, Surface Mount, 0805</t>
  </si>
  <si>
    <t>R20</t>
  </si>
  <si>
    <t>B66417G0000X149</t>
  </si>
  <si>
    <t>Ferrite Cores &amp; Accessories EFD20/10/7N49OL</t>
  </si>
  <si>
    <t>TR1</t>
  </si>
  <si>
    <t>TDK EPCOS</t>
  </si>
  <si>
    <t>TBSA30M</t>
  </si>
  <si>
    <t>Bridge Rectifiers BRIDGE RECTIFIERS 1000V 3A, TBSG</t>
  </si>
  <si>
    <t>U1</t>
  </si>
  <si>
    <t>MCC</t>
  </si>
  <si>
    <t>VO617A-9X017T</t>
  </si>
  <si>
    <t>Transistor Output Optocoupler, 1-Element, 5300V Isolation</t>
  </si>
  <si>
    <t>U2</t>
  </si>
  <si>
    <t>Vishay</t>
  </si>
  <si>
    <t>TL431</t>
  </si>
  <si>
    <t>Three Terminal Voltage Reference, 1 Output, 2.495V, Trim/Adjustable, BIPolar, PDSO8</t>
  </si>
  <si>
    <t>U3</t>
  </si>
  <si>
    <t>Texas Instruments</t>
  </si>
  <si>
    <t>UC3844</t>
  </si>
  <si>
    <t>Switching Controller, Current-mode, 1A, 500kHz Switching Freq-Max, BICMOS, PDSO8</t>
  </si>
  <si>
    <t>U4</t>
  </si>
  <si>
    <t>Line #</t>
  </si>
  <si>
    <t>Unit price ($)</t>
  </si>
  <si>
    <t>Total price for 1 board ($)</t>
  </si>
  <si>
    <t>Unit price for 1000 pcs ($)</t>
  </si>
  <si>
    <t>Total unit price for 1000 pcs ($)</t>
  </si>
  <si>
    <t>B66418W1008D1</t>
  </si>
  <si>
    <t>Coil Former</t>
  </si>
  <si>
    <t>36903205S</t>
  </si>
  <si>
    <t>EMI Gaskets, Sheets, Absorbers &amp; Shielding WE-SHC Cabinet 20x20mm</t>
  </si>
  <si>
    <t>TOTAL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</si>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</sst>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2" fontId="0" fillId="0" borderId="8" xfId="0" applyNumberFormat="1" applyBorder="1"/>
    <xf numFmtId="2" fontId="0" fillId="0" borderId="9" xfId="0" applyNumberFormat="1" applyBorder="1"/>
  </cellXfs>
  <cellStyles count="1">
    <cellStyle name="Normal" xfId="0" builtinId="0"/>
  </cellStyles>
  <dxfs count="14">
    <dxf>
      <fill>
        <patternFill patternType="solid">
          <fgColor indexed="64"/>
          <bgColor rgb="FFD3D3D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E6BDA-C655-4D00-812F-ABB4CCA8E2FE}" name="Table1" displayName="Table1" ref="A1:J45" totalsRowShown="0" headerRowDxfId="0" headerRowBorderDxfId="12" tableBorderDxfId="13" totalsRowBorderDxfId="11">
  <autoFilter ref="A1:J45" xr:uid="{01AE6BDA-C655-4D00-812F-ABB4CCA8E2FE}"/>
  <tableColumns count="10">
    <tableColumn id="1" xr3:uid="{66BDC98F-EC12-4CA9-B151-1E865606496D}" name="Line #" dataDxfId="10"/>
    <tableColumn id="2" xr3:uid="{5B2E26BD-4DFE-4BE9-B8E6-9A57F46D5892}" name="Name" dataDxfId="9"/>
    <tableColumn id="3" xr3:uid="{8F4AD1D2-8295-48D6-A659-2F830E7D1951}" name="Description" dataDxfId="8"/>
    <tableColumn id="4" xr3:uid="{286F73A9-ABA4-476B-83A8-6B9E74131663}" name="Designator" dataDxfId="7"/>
    <tableColumn id="5" xr3:uid="{79E306B8-71D5-4978-81E5-CC8D1552F164}" name="Manufacturer" dataDxfId="6"/>
    <tableColumn id="6" xr3:uid="{27374887-FF47-45E8-8D63-4BE395F7507D}" name="Quantity" dataDxfId="5"/>
    <tableColumn id="7" xr3:uid="{00FD8505-3DEF-472C-B5F7-3C145FF9B8C5}" name="Unit price ($)" dataDxfId="4"/>
    <tableColumn id="8" xr3:uid="{90D6A522-1167-48B0-9EF9-F2C3272413BB}" name="Total price for 1 board ($)" dataDxfId="3"/>
    <tableColumn id="9" xr3:uid="{A19D8777-13AB-405C-A5B9-955F3FC92135}" name="Unit price for 1000 pcs ($)" dataDxfId="2"/>
    <tableColumn id="10" xr3:uid="{E433F541-B7F4-4C32-8DBD-E6CAC16C5C04}" name="Total unit price for 1000 pcs ($)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9A0D-6DD1-4D4F-8406-41158556D8B6}">
  <dimension ref="A1:K45"/>
  <sheetViews>
    <sheetView tabSelected="1" workbookViewId="0">
      <selection sqref="A1:J45"/>
    </sheetView>
  </sheetViews>
  <sheetFormatPr defaultRowHeight="14.5" x14ac:dyDescent="0.35"/>
  <cols>
    <col min="1" max="1" width="5.1796875" customWidth="1"/>
    <col min="2" max="2" width="8.54296875" customWidth="1"/>
    <col min="3" max="3" width="13.7265625" customWidth="1"/>
    <col min="4" max="4" width="7" customWidth="1"/>
    <col min="5" max="5" width="8.81640625" customWidth="1"/>
    <col min="6" max="6" width="7.7265625" customWidth="1"/>
    <col min="7" max="7" width="6.6328125" customWidth="1"/>
    <col min="8" max="8" width="8.6328125" customWidth="1"/>
    <col min="9" max="9" width="6.90625" customWidth="1"/>
    <col min="10" max="10" width="9" customWidth="1"/>
  </cols>
  <sheetData>
    <row r="1" spans="1:11" s="1" customFormat="1" ht="82.5" customHeight="1" x14ac:dyDescent="0.35">
      <c r="A1" s="6" t="s">
        <v>143</v>
      </c>
      <c r="B1" s="7" t="s">
        <v>153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144</v>
      </c>
      <c r="H1" s="7" t="s">
        <v>145</v>
      </c>
      <c r="I1" s="7" t="s">
        <v>146</v>
      </c>
      <c r="J1" s="8" t="s">
        <v>147</v>
      </c>
      <c r="K1" s="4"/>
    </row>
    <row r="2" spans="1:11" ht="87" x14ac:dyDescent="0.35">
      <c r="A2" s="9">
        <v>1</v>
      </c>
      <c r="B2" s="2" t="s">
        <v>4</v>
      </c>
      <c r="C2" s="2" t="s">
        <v>5</v>
      </c>
      <c r="D2" s="2" t="s">
        <v>6</v>
      </c>
      <c r="E2" s="2" t="s">
        <v>7</v>
      </c>
      <c r="F2" s="3">
        <v>2</v>
      </c>
      <c r="G2" s="10">
        <v>0.26</v>
      </c>
      <c r="H2" s="10">
        <f>G2*F2</f>
        <v>0.52</v>
      </c>
      <c r="I2" s="10">
        <v>7.1999999999999995E-2</v>
      </c>
      <c r="J2" s="11">
        <f>I2*F2</f>
        <v>0.14399999999999999</v>
      </c>
      <c r="K2" s="5"/>
    </row>
    <row r="3" spans="1:11" ht="87" x14ac:dyDescent="0.35">
      <c r="A3" s="9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3">
        <v>2</v>
      </c>
      <c r="G3" s="10">
        <v>2.2200000000000002</v>
      </c>
      <c r="H3" s="10">
        <f t="shared" ref="H3:H44" si="0">G3*F3</f>
        <v>4.4400000000000004</v>
      </c>
      <c r="I3" s="10">
        <v>1.23</v>
      </c>
      <c r="J3" s="11">
        <f t="shared" ref="J3:J44" si="1">I3*F3</f>
        <v>2.46</v>
      </c>
      <c r="K3" s="5"/>
    </row>
    <row r="4" spans="1:11" ht="87" x14ac:dyDescent="0.35">
      <c r="A4" s="9">
        <v>3</v>
      </c>
      <c r="B4" s="2" t="s">
        <v>12</v>
      </c>
      <c r="C4" s="2" t="s">
        <v>13</v>
      </c>
      <c r="D4" s="2" t="s">
        <v>14</v>
      </c>
      <c r="E4" s="2" t="s">
        <v>11</v>
      </c>
      <c r="F4" s="3">
        <v>5</v>
      </c>
      <c r="G4" s="10">
        <v>1.62</v>
      </c>
      <c r="H4" s="10">
        <f t="shared" si="0"/>
        <v>8.1000000000000014</v>
      </c>
      <c r="I4" s="10">
        <v>0.69</v>
      </c>
      <c r="J4" s="11">
        <f t="shared" si="1"/>
        <v>3.4499999999999997</v>
      </c>
      <c r="K4" s="5"/>
    </row>
    <row r="5" spans="1:11" ht="87" x14ac:dyDescent="0.35">
      <c r="A5" s="9">
        <v>4</v>
      </c>
      <c r="B5" s="2" t="s">
        <v>15</v>
      </c>
      <c r="C5" s="2" t="s">
        <v>16</v>
      </c>
      <c r="D5" s="2" t="s">
        <v>17</v>
      </c>
      <c r="E5" s="2" t="s">
        <v>18</v>
      </c>
      <c r="F5" s="3">
        <v>1</v>
      </c>
      <c r="G5" s="10">
        <v>2.2400000000000002</v>
      </c>
      <c r="H5" s="10">
        <f t="shared" si="0"/>
        <v>2.2400000000000002</v>
      </c>
      <c r="I5" s="10">
        <v>0.61499999999999999</v>
      </c>
      <c r="J5" s="11">
        <f t="shared" si="1"/>
        <v>0.61499999999999999</v>
      </c>
      <c r="K5" s="5"/>
    </row>
    <row r="6" spans="1:11" ht="87" x14ac:dyDescent="0.35">
      <c r="A6" s="9">
        <v>5</v>
      </c>
      <c r="B6" s="2" t="s">
        <v>19</v>
      </c>
      <c r="C6" s="2" t="s">
        <v>20</v>
      </c>
      <c r="D6" s="2" t="s">
        <v>21</v>
      </c>
      <c r="E6" s="2" t="s">
        <v>7</v>
      </c>
      <c r="F6" s="3">
        <v>1</v>
      </c>
      <c r="G6" s="10">
        <v>0.217</v>
      </c>
      <c r="H6" s="10">
        <f t="shared" si="0"/>
        <v>0.217</v>
      </c>
      <c r="I6" s="10">
        <v>4.2999999999999997E-2</v>
      </c>
      <c r="J6" s="11">
        <f t="shared" si="1"/>
        <v>4.2999999999999997E-2</v>
      </c>
      <c r="K6" s="5"/>
    </row>
    <row r="7" spans="1:11" ht="87" x14ac:dyDescent="0.35">
      <c r="A7" s="9">
        <v>6</v>
      </c>
      <c r="B7" s="2" t="s">
        <v>22</v>
      </c>
      <c r="C7" s="2" t="s">
        <v>23</v>
      </c>
      <c r="D7" s="2" t="s">
        <v>24</v>
      </c>
      <c r="E7" s="2" t="s">
        <v>7</v>
      </c>
      <c r="F7" s="3">
        <v>1</v>
      </c>
      <c r="G7" s="10">
        <v>0.3</v>
      </c>
      <c r="H7" s="10">
        <f t="shared" si="0"/>
        <v>0.3</v>
      </c>
      <c r="I7" s="10">
        <v>0.16200000000000001</v>
      </c>
      <c r="J7" s="11">
        <f t="shared" si="1"/>
        <v>0.16200000000000001</v>
      </c>
      <c r="K7" s="5"/>
    </row>
    <row r="8" spans="1:11" ht="116" x14ac:dyDescent="0.35">
      <c r="A8" s="9">
        <v>7</v>
      </c>
      <c r="B8" s="2" t="s">
        <v>15</v>
      </c>
      <c r="C8" s="2" t="s">
        <v>25</v>
      </c>
      <c r="D8" s="2" t="s">
        <v>26</v>
      </c>
      <c r="E8" s="2" t="s">
        <v>7</v>
      </c>
      <c r="F8" s="3">
        <v>1</v>
      </c>
      <c r="G8" s="10">
        <v>0.46</v>
      </c>
      <c r="H8" s="10">
        <f t="shared" si="0"/>
        <v>0.46</v>
      </c>
      <c r="I8" s="10">
        <v>0.13400000000000001</v>
      </c>
      <c r="J8" s="11">
        <f t="shared" si="1"/>
        <v>0.13400000000000001</v>
      </c>
      <c r="K8" s="5"/>
    </row>
    <row r="9" spans="1:11" ht="130.5" x14ac:dyDescent="0.35">
      <c r="A9" s="9">
        <v>8</v>
      </c>
      <c r="B9" s="2" t="s">
        <v>27</v>
      </c>
      <c r="C9" s="2" t="s">
        <v>28</v>
      </c>
      <c r="D9" s="2" t="s">
        <v>29</v>
      </c>
      <c r="E9" s="2" t="s">
        <v>30</v>
      </c>
      <c r="F9" s="3">
        <v>1</v>
      </c>
      <c r="G9" s="10">
        <v>0.49099999999999999</v>
      </c>
      <c r="H9" s="10">
        <f t="shared" si="0"/>
        <v>0.49099999999999999</v>
      </c>
      <c r="I9" s="10">
        <v>0.124</v>
      </c>
      <c r="J9" s="11">
        <f t="shared" si="1"/>
        <v>0.124</v>
      </c>
      <c r="K9" s="5"/>
    </row>
    <row r="10" spans="1:11" ht="130.5" x14ac:dyDescent="0.35">
      <c r="A10" s="9">
        <v>9</v>
      </c>
      <c r="B10" s="2" t="s">
        <v>31</v>
      </c>
      <c r="C10" s="2" t="s">
        <v>32</v>
      </c>
      <c r="D10" s="2" t="s">
        <v>33</v>
      </c>
      <c r="E10" s="2" t="s">
        <v>7</v>
      </c>
      <c r="F10" s="3">
        <v>1</v>
      </c>
      <c r="G10" s="10">
        <v>0.78</v>
      </c>
      <c r="H10" s="10">
        <f t="shared" si="0"/>
        <v>0.78</v>
      </c>
      <c r="I10" s="10">
        <v>0.26600000000000001</v>
      </c>
      <c r="J10" s="11">
        <f t="shared" si="1"/>
        <v>0.26600000000000001</v>
      </c>
      <c r="K10" s="5"/>
    </row>
    <row r="11" spans="1:11" ht="130.5" x14ac:dyDescent="0.35">
      <c r="A11" s="9">
        <v>10</v>
      </c>
      <c r="B11" s="2" t="s">
        <v>34</v>
      </c>
      <c r="C11" s="2" t="s">
        <v>35</v>
      </c>
      <c r="D11" s="2" t="s">
        <v>36</v>
      </c>
      <c r="E11" s="2" t="s">
        <v>7</v>
      </c>
      <c r="F11" s="3">
        <v>1</v>
      </c>
      <c r="G11" s="10">
        <v>0.24</v>
      </c>
      <c r="H11" s="10">
        <f t="shared" si="0"/>
        <v>0.24</v>
      </c>
      <c r="I11" s="10">
        <v>5.7000000000000002E-2</v>
      </c>
      <c r="J11" s="11">
        <f t="shared" si="1"/>
        <v>5.7000000000000002E-2</v>
      </c>
      <c r="K11" s="5"/>
    </row>
    <row r="12" spans="1:11" ht="130.5" x14ac:dyDescent="0.35">
      <c r="A12" s="9">
        <v>11</v>
      </c>
      <c r="B12" s="2" t="s">
        <v>37</v>
      </c>
      <c r="C12" s="2" t="s">
        <v>38</v>
      </c>
      <c r="D12" s="2" t="s">
        <v>39</v>
      </c>
      <c r="E12" s="2" t="s">
        <v>7</v>
      </c>
      <c r="F12" s="3">
        <v>1</v>
      </c>
      <c r="G12" s="10">
        <v>0.1</v>
      </c>
      <c r="H12" s="10">
        <f t="shared" si="0"/>
        <v>0.1</v>
      </c>
      <c r="I12" s="10">
        <v>0.02</v>
      </c>
      <c r="J12" s="11">
        <f t="shared" si="1"/>
        <v>0.02</v>
      </c>
      <c r="K12" s="5"/>
    </row>
    <row r="13" spans="1:11" ht="145" x14ac:dyDescent="0.35">
      <c r="A13" s="9">
        <v>12</v>
      </c>
      <c r="B13" s="2" t="s">
        <v>40</v>
      </c>
      <c r="C13" s="2" t="s">
        <v>41</v>
      </c>
      <c r="D13" s="2" t="s">
        <v>42</v>
      </c>
      <c r="E13" s="2" t="s">
        <v>7</v>
      </c>
      <c r="F13" s="3">
        <v>1</v>
      </c>
      <c r="G13" s="10">
        <v>0.42</v>
      </c>
      <c r="H13" s="10">
        <f t="shared" si="0"/>
        <v>0.42</v>
      </c>
      <c r="I13" s="10">
        <v>0.124</v>
      </c>
      <c r="J13" s="11">
        <f t="shared" si="1"/>
        <v>0.124</v>
      </c>
      <c r="K13" s="5"/>
    </row>
    <row r="14" spans="1:11" ht="130.5" x14ac:dyDescent="0.35">
      <c r="A14" s="9">
        <v>13</v>
      </c>
      <c r="B14" s="2" t="s">
        <v>43</v>
      </c>
      <c r="C14" s="2" t="s">
        <v>44</v>
      </c>
      <c r="D14" s="2" t="s">
        <v>45</v>
      </c>
      <c r="E14" s="2" t="s">
        <v>7</v>
      </c>
      <c r="F14" s="3">
        <v>1</v>
      </c>
      <c r="G14" s="10">
        <v>0.16</v>
      </c>
      <c r="H14" s="10">
        <f t="shared" si="0"/>
        <v>0.16</v>
      </c>
      <c r="I14" s="10">
        <v>6.0199999999999997E-2</v>
      </c>
      <c r="J14" s="11">
        <f t="shared" si="1"/>
        <v>6.0199999999999997E-2</v>
      </c>
      <c r="K14" s="5"/>
    </row>
    <row r="15" spans="1:11" ht="101.5" x14ac:dyDescent="0.35">
      <c r="A15" s="9">
        <v>14</v>
      </c>
      <c r="B15" s="2" t="s">
        <v>46</v>
      </c>
      <c r="C15" s="2" t="s">
        <v>47</v>
      </c>
      <c r="D15" s="2" t="s">
        <v>48</v>
      </c>
      <c r="E15" s="2" t="s">
        <v>7</v>
      </c>
      <c r="F15" s="3">
        <v>1</v>
      </c>
      <c r="G15" s="10">
        <v>0.13100000000000001</v>
      </c>
      <c r="H15" s="10">
        <f t="shared" si="0"/>
        <v>0.13100000000000001</v>
      </c>
      <c r="I15" s="10">
        <v>2.5000000000000001E-2</v>
      </c>
      <c r="J15" s="11">
        <f t="shared" si="1"/>
        <v>2.5000000000000001E-2</v>
      </c>
      <c r="K15" s="5"/>
    </row>
    <row r="16" spans="1:11" ht="72.5" x14ac:dyDescent="0.35">
      <c r="A16" s="9">
        <v>15</v>
      </c>
      <c r="B16" s="2" t="s">
        <v>49</v>
      </c>
      <c r="C16" s="2" t="s">
        <v>50</v>
      </c>
      <c r="D16" s="2" t="s">
        <v>51</v>
      </c>
      <c r="E16" s="2" t="s">
        <v>52</v>
      </c>
      <c r="F16" s="3">
        <v>3</v>
      </c>
      <c r="G16" s="10">
        <v>1</v>
      </c>
      <c r="H16" s="10">
        <f t="shared" si="0"/>
        <v>3</v>
      </c>
      <c r="I16" s="10">
        <v>0.2477</v>
      </c>
      <c r="J16" s="11">
        <f t="shared" si="1"/>
        <v>0.74309999999999998</v>
      </c>
      <c r="K16" s="5"/>
    </row>
    <row r="17" spans="1:11" ht="58" x14ac:dyDescent="0.35">
      <c r="A17" s="9">
        <v>16</v>
      </c>
      <c r="B17" s="2" t="s">
        <v>53</v>
      </c>
      <c r="C17" s="2" t="s">
        <v>54</v>
      </c>
      <c r="D17" s="2" t="s">
        <v>55</v>
      </c>
      <c r="E17" s="2" t="s">
        <v>56</v>
      </c>
      <c r="F17" s="3">
        <v>2</v>
      </c>
      <c r="G17" s="10">
        <v>0.14000000000000001</v>
      </c>
      <c r="H17" s="10">
        <f t="shared" si="0"/>
        <v>0.28000000000000003</v>
      </c>
      <c r="I17" s="10">
        <v>0.1</v>
      </c>
      <c r="J17" s="11">
        <f t="shared" si="1"/>
        <v>0.2</v>
      </c>
      <c r="K17" s="5"/>
    </row>
    <row r="18" spans="1:11" ht="87" x14ac:dyDescent="0.35">
      <c r="A18" s="9">
        <v>17</v>
      </c>
      <c r="B18" s="2" t="s">
        <v>57</v>
      </c>
      <c r="C18" s="2" t="s">
        <v>58</v>
      </c>
      <c r="D18" s="2" t="s">
        <v>59</v>
      </c>
      <c r="E18" s="2" t="s">
        <v>60</v>
      </c>
      <c r="F18" s="3">
        <v>2</v>
      </c>
      <c r="G18" s="10">
        <v>1</v>
      </c>
      <c r="H18" s="10">
        <f t="shared" si="0"/>
        <v>2</v>
      </c>
      <c r="I18" s="10">
        <v>0.44</v>
      </c>
      <c r="J18" s="11">
        <f t="shared" si="1"/>
        <v>0.88</v>
      </c>
      <c r="K18" s="5"/>
    </row>
    <row r="19" spans="1:11" ht="87" x14ac:dyDescent="0.35">
      <c r="A19" s="9">
        <v>18</v>
      </c>
      <c r="B19" s="2" t="s">
        <v>61</v>
      </c>
      <c r="C19" s="2" t="s">
        <v>62</v>
      </c>
      <c r="D19" s="2" t="s">
        <v>63</v>
      </c>
      <c r="E19" s="2" t="s">
        <v>64</v>
      </c>
      <c r="F19" s="3">
        <v>1</v>
      </c>
      <c r="G19" s="10">
        <v>0.311</v>
      </c>
      <c r="H19" s="10">
        <f t="shared" si="0"/>
        <v>0.311</v>
      </c>
      <c r="I19" s="10">
        <v>0.115</v>
      </c>
      <c r="J19" s="11">
        <f t="shared" si="1"/>
        <v>0.115</v>
      </c>
      <c r="K19" s="5"/>
    </row>
    <row r="20" spans="1:11" ht="87" x14ac:dyDescent="0.35">
      <c r="A20" s="9">
        <v>19</v>
      </c>
      <c r="B20" s="2" t="s">
        <v>65</v>
      </c>
      <c r="C20" s="2" t="s">
        <v>66</v>
      </c>
      <c r="D20" s="2" t="s">
        <v>67</v>
      </c>
      <c r="E20" s="2" t="s">
        <v>64</v>
      </c>
      <c r="F20" s="3">
        <v>1</v>
      </c>
      <c r="G20" s="10">
        <v>0.35099999999999998</v>
      </c>
      <c r="H20" s="10">
        <f t="shared" si="0"/>
        <v>0.35099999999999998</v>
      </c>
      <c r="I20" s="10">
        <v>0.10299999999999999</v>
      </c>
      <c r="J20" s="11">
        <f t="shared" si="1"/>
        <v>0.10299999999999999</v>
      </c>
      <c r="K20" s="5"/>
    </row>
    <row r="21" spans="1:11" ht="72.5" x14ac:dyDescent="0.35">
      <c r="A21" s="9">
        <v>20</v>
      </c>
      <c r="B21" s="2" t="s">
        <v>68</v>
      </c>
      <c r="C21" s="2" t="s">
        <v>69</v>
      </c>
      <c r="D21" s="2" t="s">
        <v>70</v>
      </c>
      <c r="E21" s="2" t="s">
        <v>71</v>
      </c>
      <c r="F21" s="3">
        <v>1</v>
      </c>
      <c r="G21" s="10">
        <v>0.21099999999999999</v>
      </c>
      <c r="H21" s="10">
        <f t="shared" si="0"/>
        <v>0.21099999999999999</v>
      </c>
      <c r="I21" s="10">
        <v>8.5999999999999993E-2</v>
      </c>
      <c r="J21" s="11">
        <f t="shared" si="1"/>
        <v>8.5999999999999993E-2</v>
      </c>
      <c r="K21" s="5"/>
    </row>
    <row r="22" spans="1:11" ht="101.5" x14ac:dyDescent="0.35">
      <c r="A22" s="9">
        <v>21</v>
      </c>
      <c r="B22" s="2" t="s">
        <v>72</v>
      </c>
      <c r="C22" s="2" t="s">
        <v>73</v>
      </c>
      <c r="D22" s="2" t="s">
        <v>74</v>
      </c>
      <c r="E22" s="2" t="s">
        <v>75</v>
      </c>
      <c r="F22" s="3">
        <v>1</v>
      </c>
      <c r="G22" s="10">
        <v>0.26</v>
      </c>
      <c r="H22" s="10">
        <f t="shared" si="0"/>
        <v>0.26</v>
      </c>
      <c r="I22" s="10">
        <v>0.247</v>
      </c>
      <c r="J22" s="11">
        <f t="shared" si="1"/>
        <v>0.247</v>
      </c>
      <c r="K22" s="5"/>
    </row>
    <row r="23" spans="1:11" ht="43.5" x14ac:dyDescent="0.35">
      <c r="A23" s="9">
        <v>22</v>
      </c>
      <c r="B23" s="2" t="s">
        <v>76</v>
      </c>
      <c r="C23" s="2" t="s">
        <v>77</v>
      </c>
      <c r="D23" s="2" t="s">
        <v>78</v>
      </c>
      <c r="E23" s="2" t="s">
        <v>79</v>
      </c>
      <c r="F23" s="3">
        <v>1</v>
      </c>
      <c r="G23" s="10">
        <v>2.39</v>
      </c>
      <c r="H23" s="10">
        <f t="shared" si="0"/>
        <v>2.39</v>
      </c>
      <c r="I23" s="10">
        <v>0.77600000000000002</v>
      </c>
      <c r="J23" s="11">
        <f t="shared" si="1"/>
        <v>0.77600000000000002</v>
      </c>
      <c r="K23" s="5"/>
    </row>
    <row r="24" spans="1:11" ht="116" x14ac:dyDescent="0.35">
      <c r="A24" s="9">
        <v>23</v>
      </c>
      <c r="B24" s="2" t="s">
        <v>80</v>
      </c>
      <c r="C24" s="2" t="s">
        <v>81</v>
      </c>
      <c r="D24" s="2" t="s">
        <v>82</v>
      </c>
      <c r="E24" s="2" t="s">
        <v>83</v>
      </c>
      <c r="F24" s="3">
        <v>1</v>
      </c>
      <c r="G24" s="10">
        <v>0.1</v>
      </c>
      <c r="H24" s="10">
        <f t="shared" si="0"/>
        <v>0.1</v>
      </c>
      <c r="I24" s="10">
        <v>3.6999999999999998E-2</v>
      </c>
      <c r="J24" s="11">
        <f t="shared" si="1"/>
        <v>3.6999999999999998E-2</v>
      </c>
      <c r="K24" s="5"/>
    </row>
    <row r="25" spans="1:11" ht="87" x14ac:dyDescent="0.35">
      <c r="A25" s="9">
        <v>24</v>
      </c>
      <c r="B25" s="2" t="s">
        <v>84</v>
      </c>
      <c r="C25" s="2" t="s">
        <v>85</v>
      </c>
      <c r="D25" s="2" t="s">
        <v>86</v>
      </c>
      <c r="E25" s="2" t="s">
        <v>87</v>
      </c>
      <c r="F25" s="3">
        <v>2</v>
      </c>
      <c r="G25" s="10">
        <v>0.36</v>
      </c>
      <c r="H25" s="10">
        <f t="shared" si="0"/>
        <v>0.72</v>
      </c>
      <c r="I25" s="10">
        <v>0.111</v>
      </c>
      <c r="J25" s="11">
        <f t="shared" si="1"/>
        <v>0.222</v>
      </c>
      <c r="K25" s="5"/>
    </row>
    <row r="26" spans="1:11" ht="101.5" x14ac:dyDescent="0.35">
      <c r="A26" s="9">
        <v>25</v>
      </c>
      <c r="B26" s="2" t="s">
        <v>88</v>
      </c>
      <c r="C26" s="2" t="s">
        <v>89</v>
      </c>
      <c r="D26" s="2" t="s">
        <v>90</v>
      </c>
      <c r="E26" s="2" t="s">
        <v>83</v>
      </c>
      <c r="F26" s="3">
        <v>2</v>
      </c>
      <c r="G26" s="10">
        <v>0.18</v>
      </c>
      <c r="H26" s="10">
        <f t="shared" si="0"/>
        <v>0.36</v>
      </c>
      <c r="I26" s="10">
        <v>6.6000000000000003E-2</v>
      </c>
      <c r="J26" s="11">
        <f t="shared" si="1"/>
        <v>0.13200000000000001</v>
      </c>
      <c r="K26" s="5"/>
    </row>
    <row r="27" spans="1:11" ht="116" x14ac:dyDescent="0.35">
      <c r="A27" s="9">
        <v>26</v>
      </c>
      <c r="B27" s="2" t="s">
        <v>91</v>
      </c>
      <c r="C27" s="2" t="s">
        <v>92</v>
      </c>
      <c r="D27" s="2" t="s">
        <v>93</v>
      </c>
      <c r="E27" s="2" t="s">
        <v>83</v>
      </c>
      <c r="F27" s="3">
        <v>2</v>
      </c>
      <c r="G27" s="10">
        <v>0.34</v>
      </c>
      <c r="H27" s="10">
        <f t="shared" si="0"/>
        <v>0.68</v>
      </c>
      <c r="I27" s="10">
        <v>0.112</v>
      </c>
      <c r="J27" s="11">
        <f t="shared" si="1"/>
        <v>0.224</v>
      </c>
      <c r="K27" s="5"/>
    </row>
    <row r="28" spans="1:11" ht="116" x14ac:dyDescent="0.35">
      <c r="A28" s="9">
        <v>27</v>
      </c>
      <c r="B28" s="2" t="s">
        <v>94</v>
      </c>
      <c r="C28" s="2" t="s">
        <v>95</v>
      </c>
      <c r="D28" s="2" t="s">
        <v>96</v>
      </c>
      <c r="E28" s="2" t="s">
        <v>83</v>
      </c>
      <c r="F28" s="3">
        <v>1</v>
      </c>
      <c r="G28" s="10">
        <v>0.17100000000000001</v>
      </c>
      <c r="H28" s="10">
        <f t="shared" si="0"/>
        <v>0.17100000000000001</v>
      </c>
      <c r="I28" s="10">
        <v>0.06</v>
      </c>
      <c r="J28" s="11">
        <f t="shared" si="1"/>
        <v>0.06</v>
      </c>
      <c r="K28" s="5"/>
    </row>
    <row r="29" spans="1:11" ht="116" x14ac:dyDescent="0.35">
      <c r="A29" s="9">
        <v>28</v>
      </c>
      <c r="B29" s="2" t="s">
        <v>97</v>
      </c>
      <c r="C29" s="2" t="s">
        <v>98</v>
      </c>
      <c r="D29" s="2" t="s">
        <v>99</v>
      </c>
      <c r="E29" s="2" t="s">
        <v>11</v>
      </c>
      <c r="F29" s="3">
        <v>1</v>
      </c>
      <c r="G29" s="10">
        <v>0.191</v>
      </c>
      <c r="H29" s="10">
        <f t="shared" si="0"/>
        <v>0.191</v>
      </c>
      <c r="I29" s="10">
        <v>0.126</v>
      </c>
      <c r="J29" s="11">
        <f t="shared" si="1"/>
        <v>0.126</v>
      </c>
      <c r="K29" s="5"/>
    </row>
    <row r="30" spans="1:11" ht="130.5" x14ac:dyDescent="0.35">
      <c r="A30" s="9">
        <v>29</v>
      </c>
      <c r="B30" s="2" t="s">
        <v>100</v>
      </c>
      <c r="C30" s="2" t="s">
        <v>101</v>
      </c>
      <c r="D30" s="2" t="s">
        <v>102</v>
      </c>
      <c r="E30" s="2" t="s">
        <v>83</v>
      </c>
      <c r="F30" s="3">
        <v>1</v>
      </c>
      <c r="G30" s="10">
        <v>0.1</v>
      </c>
      <c r="H30" s="10">
        <f t="shared" si="0"/>
        <v>0.1</v>
      </c>
      <c r="I30" s="10">
        <v>1.4999999999999999E-2</v>
      </c>
      <c r="J30" s="11">
        <f t="shared" si="1"/>
        <v>1.4999999999999999E-2</v>
      </c>
      <c r="K30" s="5"/>
    </row>
    <row r="31" spans="1:11" ht="116" x14ac:dyDescent="0.35">
      <c r="A31" s="9">
        <v>30</v>
      </c>
      <c r="B31" s="2" t="s">
        <v>103</v>
      </c>
      <c r="C31" s="2" t="s">
        <v>104</v>
      </c>
      <c r="D31" s="2" t="s">
        <v>105</v>
      </c>
      <c r="E31" s="2" t="s">
        <v>83</v>
      </c>
      <c r="F31" s="3">
        <v>1</v>
      </c>
      <c r="G31" s="10">
        <v>0.1</v>
      </c>
      <c r="H31" s="10">
        <f t="shared" si="0"/>
        <v>0.1</v>
      </c>
      <c r="I31" s="10">
        <v>1.9E-2</v>
      </c>
      <c r="J31" s="11">
        <f t="shared" si="1"/>
        <v>1.9E-2</v>
      </c>
      <c r="K31" s="5"/>
    </row>
    <row r="32" spans="1:11" ht="116" x14ac:dyDescent="0.35">
      <c r="A32" s="9">
        <v>31</v>
      </c>
      <c r="B32" s="2" t="s">
        <v>106</v>
      </c>
      <c r="C32" s="2" t="s">
        <v>107</v>
      </c>
      <c r="D32" s="2" t="s">
        <v>108</v>
      </c>
      <c r="E32" s="2" t="s">
        <v>83</v>
      </c>
      <c r="F32" s="3">
        <v>3</v>
      </c>
      <c r="G32" s="10">
        <v>0.17</v>
      </c>
      <c r="H32" s="10">
        <f t="shared" si="0"/>
        <v>0.51</v>
      </c>
      <c r="I32" s="10">
        <v>5.8000000000000003E-2</v>
      </c>
      <c r="J32" s="11">
        <f t="shared" si="1"/>
        <v>0.17400000000000002</v>
      </c>
      <c r="K32" s="5"/>
    </row>
    <row r="33" spans="1:11" ht="145" x14ac:dyDescent="0.35">
      <c r="A33" s="9">
        <v>32</v>
      </c>
      <c r="B33" s="2" t="s">
        <v>109</v>
      </c>
      <c r="C33" s="2" t="s">
        <v>110</v>
      </c>
      <c r="D33" s="2" t="s">
        <v>111</v>
      </c>
      <c r="E33" s="2" t="s">
        <v>83</v>
      </c>
      <c r="F33" s="3">
        <v>2</v>
      </c>
      <c r="G33" s="10">
        <v>0.13</v>
      </c>
      <c r="H33" s="10">
        <f t="shared" si="0"/>
        <v>0.26</v>
      </c>
      <c r="I33" s="10">
        <v>0.02</v>
      </c>
      <c r="J33" s="11">
        <f t="shared" si="1"/>
        <v>0.04</v>
      </c>
      <c r="K33" s="5"/>
    </row>
    <row r="34" spans="1:11" ht="116" x14ac:dyDescent="0.35">
      <c r="A34" s="9">
        <v>33</v>
      </c>
      <c r="B34" s="2" t="s">
        <v>112</v>
      </c>
      <c r="C34" s="2" t="s">
        <v>113</v>
      </c>
      <c r="D34" s="2" t="s">
        <v>114</v>
      </c>
      <c r="E34" s="2" t="s">
        <v>83</v>
      </c>
      <c r="F34" s="3">
        <v>1</v>
      </c>
      <c r="G34" s="10">
        <v>0.1</v>
      </c>
      <c r="H34" s="10">
        <f t="shared" si="0"/>
        <v>0.1</v>
      </c>
      <c r="I34" s="10">
        <v>2.3E-2</v>
      </c>
      <c r="J34" s="11">
        <f t="shared" si="1"/>
        <v>2.3E-2</v>
      </c>
      <c r="K34" s="5"/>
    </row>
    <row r="35" spans="1:11" ht="116" x14ac:dyDescent="0.35">
      <c r="A35" s="9">
        <v>34</v>
      </c>
      <c r="B35" s="2" t="s">
        <v>115</v>
      </c>
      <c r="C35" s="2" t="s">
        <v>116</v>
      </c>
      <c r="D35" s="2" t="s">
        <v>117</v>
      </c>
      <c r="E35" s="2" t="s">
        <v>83</v>
      </c>
      <c r="F35" s="3">
        <v>1</v>
      </c>
      <c r="G35" s="10">
        <v>0.1</v>
      </c>
      <c r="H35" s="10">
        <f t="shared" si="0"/>
        <v>0.1</v>
      </c>
      <c r="I35" s="10">
        <v>1.7000000000000001E-2</v>
      </c>
      <c r="J35" s="11">
        <f t="shared" si="1"/>
        <v>1.7000000000000001E-2</v>
      </c>
      <c r="K35" s="5"/>
    </row>
    <row r="36" spans="1:11" ht="116" x14ac:dyDescent="0.35">
      <c r="A36" s="9">
        <v>35</v>
      </c>
      <c r="B36" s="2" t="s">
        <v>118</v>
      </c>
      <c r="C36" s="2" t="s">
        <v>119</v>
      </c>
      <c r="D36" s="2" t="s">
        <v>120</v>
      </c>
      <c r="E36" s="2" t="s">
        <v>83</v>
      </c>
      <c r="F36" s="3">
        <v>1</v>
      </c>
      <c r="G36" s="10">
        <v>0.16</v>
      </c>
      <c r="H36" s="10">
        <f t="shared" si="0"/>
        <v>0.16</v>
      </c>
      <c r="I36" s="10">
        <v>5.7000000000000002E-2</v>
      </c>
      <c r="J36" s="11">
        <f t="shared" si="1"/>
        <v>5.7000000000000002E-2</v>
      </c>
      <c r="K36" s="5"/>
    </row>
    <row r="37" spans="1:11" ht="116" x14ac:dyDescent="0.35">
      <c r="A37" s="9">
        <v>36</v>
      </c>
      <c r="B37" s="2" t="s">
        <v>121</v>
      </c>
      <c r="C37" s="2" t="s">
        <v>122</v>
      </c>
      <c r="D37" s="2" t="s">
        <v>123</v>
      </c>
      <c r="E37" s="2" t="s">
        <v>83</v>
      </c>
      <c r="F37" s="3">
        <v>1</v>
      </c>
      <c r="G37" s="10">
        <v>0.111</v>
      </c>
      <c r="H37" s="10">
        <f t="shared" si="0"/>
        <v>0.111</v>
      </c>
      <c r="I37" s="10">
        <v>4.3999999999999997E-2</v>
      </c>
      <c r="J37" s="11">
        <f t="shared" si="1"/>
        <v>4.3999999999999997E-2</v>
      </c>
      <c r="K37" s="5"/>
    </row>
    <row r="38" spans="1:11" ht="58" x14ac:dyDescent="0.35">
      <c r="A38" s="9">
        <v>37</v>
      </c>
      <c r="B38" s="2" t="s">
        <v>124</v>
      </c>
      <c r="C38" s="2" t="s">
        <v>125</v>
      </c>
      <c r="D38" s="2" t="s">
        <v>126</v>
      </c>
      <c r="E38" s="2" t="s">
        <v>127</v>
      </c>
      <c r="F38" s="3">
        <v>1</v>
      </c>
      <c r="G38" s="10">
        <v>0.72</v>
      </c>
      <c r="H38" s="10">
        <f t="shared" si="0"/>
        <v>0.72</v>
      </c>
      <c r="I38" s="10">
        <v>0.437</v>
      </c>
      <c r="J38" s="11">
        <f t="shared" si="1"/>
        <v>0.437</v>
      </c>
      <c r="K38" s="5"/>
    </row>
    <row r="39" spans="1:11" ht="72.5" x14ac:dyDescent="0.35">
      <c r="A39" s="9">
        <v>38</v>
      </c>
      <c r="B39" s="2" t="s">
        <v>128</v>
      </c>
      <c r="C39" s="2" t="s">
        <v>129</v>
      </c>
      <c r="D39" s="2" t="s">
        <v>130</v>
      </c>
      <c r="E39" s="2" t="s">
        <v>131</v>
      </c>
      <c r="F39" s="3">
        <v>1</v>
      </c>
      <c r="G39" s="10">
        <v>0.4</v>
      </c>
      <c r="H39" s="10">
        <f t="shared" si="0"/>
        <v>0.4</v>
      </c>
      <c r="I39" s="10">
        <v>0.153</v>
      </c>
      <c r="J39" s="11">
        <f t="shared" si="1"/>
        <v>0.153</v>
      </c>
      <c r="K39" s="5"/>
    </row>
    <row r="40" spans="1:11" ht="72.5" x14ac:dyDescent="0.35">
      <c r="A40" s="9">
        <v>39</v>
      </c>
      <c r="B40" s="2" t="s">
        <v>132</v>
      </c>
      <c r="C40" s="2" t="s">
        <v>133</v>
      </c>
      <c r="D40" s="2" t="s">
        <v>134</v>
      </c>
      <c r="E40" s="2" t="s">
        <v>135</v>
      </c>
      <c r="F40" s="3">
        <v>1</v>
      </c>
      <c r="G40" s="10">
        <v>0.5</v>
      </c>
      <c r="H40" s="10">
        <f t="shared" si="0"/>
        <v>0.5</v>
      </c>
      <c r="I40" s="10">
        <v>0.13200000000000001</v>
      </c>
      <c r="J40" s="11">
        <f t="shared" si="1"/>
        <v>0.13200000000000001</v>
      </c>
      <c r="K40" s="5"/>
    </row>
    <row r="41" spans="1:11" ht="101.5" x14ac:dyDescent="0.35">
      <c r="A41" s="9">
        <v>40</v>
      </c>
      <c r="B41" s="2" t="s">
        <v>136</v>
      </c>
      <c r="C41" s="2" t="s">
        <v>137</v>
      </c>
      <c r="D41" s="2" t="s">
        <v>138</v>
      </c>
      <c r="E41" s="2" t="s">
        <v>139</v>
      </c>
      <c r="F41" s="3">
        <v>1</v>
      </c>
      <c r="G41" s="10">
        <v>0.91100000000000003</v>
      </c>
      <c r="H41" s="10">
        <f t="shared" si="0"/>
        <v>0.91100000000000003</v>
      </c>
      <c r="I41" s="10">
        <v>0.32</v>
      </c>
      <c r="J41" s="11">
        <f t="shared" si="1"/>
        <v>0.32</v>
      </c>
      <c r="K41" s="5"/>
    </row>
    <row r="42" spans="1:11" ht="101.5" x14ac:dyDescent="0.35">
      <c r="A42" s="9">
        <v>41</v>
      </c>
      <c r="B42" s="2" t="s">
        <v>140</v>
      </c>
      <c r="C42" s="2" t="s">
        <v>141</v>
      </c>
      <c r="D42" s="2" t="s">
        <v>142</v>
      </c>
      <c r="E42" s="2" t="s">
        <v>139</v>
      </c>
      <c r="F42" s="3">
        <v>1</v>
      </c>
      <c r="G42" s="10">
        <v>2</v>
      </c>
      <c r="H42" s="10">
        <f t="shared" si="0"/>
        <v>2</v>
      </c>
      <c r="I42" s="10">
        <v>0.70299999999999996</v>
      </c>
      <c r="J42" s="11">
        <f t="shared" si="1"/>
        <v>0.70299999999999996</v>
      </c>
      <c r="K42" s="5"/>
    </row>
    <row r="43" spans="1:11" ht="29" x14ac:dyDescent="0.35">
      <c r="A43" s="9">
        <v>42</v>
      </c>
      <c r="B43" s="12" t="s">
        <v>148</v>
      </c>
      <c r="C43" s="13" t="s">
        <v>149</v>
      </c>
      <c r="D43" s="13"/>
      <c r="E43" s="13" t="s">
        <v>127</v>
      </c>
      <c r="F43" s="13">
        <v>1</v>
      </c>
      <c r="G43" s="13">
        <v>1.64</v>
      </c>
      <c r="H43" s="10">
        <f t="shared" si="0"/>
        <v>1.64</v>
      </c>
      <c r="I43" s="13">
        <v>0.66200000000000003</v>
      </c>
      <c r="J43" s="11">
        <f t="shared" si="1"/>
        <v>0.66200000000000003</v>
      </c>
    </row>
    <row r="44" spans="1:11" ht="87" x14ac:dyDescent="0.35">
      <c r="A44" s="9">
        <v>43</v>
      </c>
      <c r="B44" s="13" t="s">
        <v>150</v>
      </c>
      <c r="C44" s="3" t="s">
        <v>151</v>
      </c>
      <c r="D44" s="13"/>
      <c r="E44" s="13" t="s">
        <v>56</v>
      </c>
      <c r="F44" s="13">
        <v>4</v>
      </c>
      <c r="G44" s="13">
        <v>2.8</v>
      </c>
      <c r="H44" s="10">
        <f t="shared" si="0"/>
        <v>11.2</v>
      </c>
      <c r="I44" s="13">
        <v>1.84</v>
      </c>
      <c r="J44" s="11">
        <f t="shared" si="1"/>
        <v>7.36</v>
      </c>
    </row>
    <row r="45" spans="1:11" x14ac:dyDescent="0.35">
      <c r="A45" s="14" t="s">
        <v>152</v>
      </c>
      <c r="B45" s="15"/>
      <c r="C45" s="15"/>
      <c r="D45" s="15"/>
      <c r="E45" s="15"/>
      <c r="F45" s="15"/>
      <c r="G45" s="16"/>
      <c r="H45" s="17">
        <f>SUM(H2:H44)</f>
        <v>48.436000000000021</v>
      </c>
      <c r="I45" s="16"/>
      <c r="J45" s="18">
        <f>SUM(J2:J44)</f>
        <v>21.7913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Materials-Schematic</vt:lpstr>
      <vt:lpstr>'Bill of Materials-Schematic'!Print_Titles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Veliciu</dc:creator>
  <cp:lastModifiedBy>Vlad Veliciu</cp:lastModifiedBy>
  <dcterms:created xsi:type="dcterms:W3CDTF">2025-01-21T19:14:00Z</dcterms:created>
  <dcterms:modified xsi:type="dcterms:W3CDTF">2025-01-22T09:12:22Z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2025-01-21T19:14:00Z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10a68142-d448-4514-a5d2-ce66414c81de</vt:lpwstr>
  </property>
  <property fmtid="{D5CDD505-2E9C-101B-9397-08002B2CF9AE}" pid="8" name="MSIP_Label_5b58b62f-6f94-46bd-8089-18e64b0a9abb_ContentBits">
    <vt:lpwstr>0</vt:lpwstr>
  </property>
</Properties>
</file>